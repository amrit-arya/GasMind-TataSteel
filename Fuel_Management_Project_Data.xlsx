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in11\Downloads\"/>
    </mc:Choice>
  </mc:AlternateContent>
  <xr:revisionPtr revIDLastSave="0" documentId="13_ncr:1_{EB67F15A-117E-46CE-B321-9B9651D76C4E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Summary Dashboard" sheetId="1" r:id="rId1"/>
    <sheet name="BF Gas Details" sheetId="2" r:id="rId2"/>
    <sheet name="CO Gas Details" sheetId="3" r:id="rId3"/>
    <sheet name="LD Gas Detail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4" l="1"/>
  <c r="B6" i="1" s="1"/>
  <c r="D6" i="1" s="1"/>
  <c r="C29" i="3"/>
  <c r="C5" i="1" s="1"/>
  <c r="C7" i="3"/>
  <c r="B5" i="1" s="1"/>
  <c r="D5" i="1" s="1"/>
  <c r="B25" i="2"/>
  <c r="C11" i="2"/>
  <c r="D24" i="2" s="1"/>
  <c r="B11" i="2"/>
  <c r="B4" i="1" s="1"/>
  <c r="B7" i="1" l="1"/>
  <c r="C24" i="2"/>
  <c r="C4" i="1" s="1"/>
  <c r="C7" i="1" s="1"/>
  <c r="D4" i="1" l="1"/>
  <c r="D7" i="1" s="1"/>
</calcChain>
</file>

<file path=xl/sharedStrings.xml><?xml version="1.0" encoding="utf-8"?>
<sst xmlns="http://schemas.openxmlformats.org/spreadsheetml/2006/main" count="75" uniqueCount="67">
  <si>
    <t>Fuel Management Project - Byproduct Gas Summary</t>
  </si>
  <si>
    <t>Gas Type</t>
  </si>
  <si>
    <t>Total Generation</t>
  </si>
  <si>
    <t>Total Consumption</t>
  </si>
  <si>
    <t>Surplus / Deficit</t>
  </si>
  <si>
    <t>BF Gas (Blast Furnace Gas)</t>
  </si>
  <si>
    <t>CO Gas (Coke Oven Gas)</t>
  </si>
  <si>
    <t>LD Gas (Linz-Donawitz Gas)</t>
  </si>
  <si>
    <t>Total Byproduct Gas</t>
  </si>
  <si>
    <t>BF Gas Overview (Blast Furnace Gas)</t>
  </si>
  <si>
    <t>1. Generation &amp; Internal Consumption at Blast Furnaces</t>
  </si>
  <si>
    <t>Blast Furnace</t>
  </si>
  <si>
    <t>Generation</t>
  </si>
  <si>
    <t>Consumption</t>
  </si>
  <si>
    <t>Furnace I</t>
  </si>
  <si>
    <t>Furnace H</t>
  </si>
  <si>
    <t>Furnace G</t>
  </si>
  <si>
    <t>Furnace F</t>
  </si>
  <si>
    <t>Furnace E</t>
  </si>
  <si>
    <t>Furnace C</t>
  </si>
  <si>
    <t>Total BF Generation / Cons.</t>
  </si>
  <si>
    <t>2. Other Consumptions</t>
  </si>
  <si>
    <t>Consumer / Plant Area</t>
  </si>
  <si>
    <t>HSM Mill</t>
  </si>
  <si>
    <t>Pellet Plant</t>
  </si>
  <si>
    <t>TSCR</t>
  </si>
  <si>
    <t>LCP</t>
  </si>
  <si>
    <t>Coke Plant</t>
  </si>
  <si>
    <t>PH #3</t>
  </si>
  <si>
    <t>PH #4</t>
  </si>
  <si>
    <t>PH #5</t>
  </si>
  <si>
    <t>PH #6</t>
  </si>
  <si>
    <t>Grand Total Consumption</t>
  </si>
  <si>
    <t>Total Other Consumption</t>
  </si>
  <si>
    <t>CO Gas Overview (Coke Oven Gas)</t>
  </si>
  <si>
    <t>1. Generation</t>
  </si>
  <si>
    <t>Batteries</t>
  </si>
  <si>
    <t>Plant / Source</t>
  </si>
  <si>
    <t>Batt 8, Batt 9</t>
  </si>
  <si>
    <t>Old BPP</t>
  </si>
  <si>
    <t>Batt 10, Batt 11</t>
  </si>
  <si>
    <t>New BPP</t>
  </si>
  <si>
    <t>Total CO Generation</t>
  </si>
  <si>
    <t>2. Consumption</t>
  </si>
  <si>
    <t>Sl No.</t>
  </si>
  <si>
    <t>Mergemill (1-7)</t>
  </si>
  <si>
    <t>Mergemill (8-9)</t>
  </si>
  <si>
    <t>CRM (Cold Rolling Mill)</t>
  </si>
  <si>
    <t>MM (Merchant Mill)</t>
  </si>
  <si>
    <t>WRM</t>
  </si>
  <si>
    <t>HSM</t>
  </si>
  <si>
    <t>TsCR</t>
  </si>
  <si>
    <t>SP (1-4)</t>
  </si>
  <si>
    <t>TPL</t>
  </si>
  <si>
    <t>CAPL</t>
  </si>
  <si>
    <t>Tube Divsn.</t>
  </si>
  <si>
    <t>BF Total (800 x 6)</t>
  </si>
  <si>
    <t>Total CO Consumption</t>
  </si>
  <si>
    <t>LD Gas Overview (Linz-Donawitz Gas)</t>
  </si>
  <si>
    <t>LD-1 &amp; LD-3</t>
  </si>
  <si>
    <t>LD-2</t>
  </si>
  <si>
    <t>Total LD Generation</t>
  </si>
  <si>
    <t>PH#3</t>
  </si>
  <si>
    <t>PH#4</t>
  </si>
  <si>
    <t>PH#5</t>
  </si>
  <si>
    <t>PH#6</t>
  </si>
  <si>
    <t>PH#7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</si>
</sst>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1F497D"/>
      <name val="Segoe UI"/>
    </font>
    <font>
      <b/>
      <sz val="11"/>
      <color rgb="FFFFFFFF"/>
      <name val="Segoe UI"/>
    </font>
    <font>
      <sz val="11"/>
      <color rgb="FF000000"/>
      <name val="Segoe UI"/>
    </font>
    <font>
      <b/>
      <sz val="11"/>
      <color rgb="FF000000"/>
      <name val="Segoe UI"/>
    </font>
    <font>
      <b/>
      <sz val="12"/>
      <color rgb="FF1F497D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DCE6F1"/>
        <bgColor rgb="FFDCE6F1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left"/>
    </xf>
    <xf numFmtId="3" fontId="3" fillId="0" borderId="1" xfId="0" applyNumberFormat="1" applyFont="1" applyBorder="1" applyAlignment="1">
      <alignment horizontal="right"/>
    </xf>
    <xf numFmtId="0" fontId="4" fillId="3" borderId="2" xfId="0" applyFont="1" applyFill="1" applyBorder="1"/>
    <xf numFmtId="3" fontId="4" fillId="3" borderId="2" xfId="0" applyNumberFormat="1" applyFont="1" applyFill="1" applyBorder="1" applyAlignment="1">
      <alignment horizontal="right"/>
    </xf>
    <xf numFmtId="0" fontId="5" fillId="0" borderId="0" xfId="0" applyFont="1"/>
    <xf numFmtId="0" fontId="4" fillId="0" borderId="0" xfId="0" applyFont="1"/>
    <xf numFmtId="0" fontId="2" fillId="2" borderId="0" xfId="0" applyFont="1" applyFill="1" applyAlignment="1">
      <alignment horizontal="center"/>
    </xf>
    <xf numFmtId="0" fontId="3" fillId="0" borderId="1" xfId="0" applyFont="1" applyBorder="1"/>
    <xf numFmtId="3" fontId="4" fillId="0" borderId="0" xfId="0" applyNumberFormat="1" applyFont="1"/>
    <xf numFmtId="3" fontId="0" fillId="3" borderId="2" xfId="0" applyNumberFormat="1" applyFill="1" applyBorder="1" applyAlignment="1">
      <alignment horizontal="right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/>
  </sheetViews>
  <sheetFormatPr defaultRowHeight="14.4" x14ac:dyDescent="0.3"/>
  <cols>
    <col min="1" max="1" width="51" customWidth="1"/>
    <col min="2" max="2" width="20" customWidth="1"/>
    <col min="3" max="4" width="21" customWidth="1"/>
  </cols>
  <sheetData>
    <row r="1" spans="1:4" ht="24.6" x14ac:dyDescent="0.55000000000000004">
      <c r="A1" s="1" t="s">
        <v>0</v>
      </c>
    </row>
    <row r="3" spans="1:4" ht="16.8" x14ac:dyDescent="0.3">
      <c r="A3" s="2" t="s">
        <v>1</v>
      </c>
      <c r="B3" s="2" t="s">
        <v>2</v>
      </c>
      <c r="C3" s="2" t="s">
        <v>3</v>
      </c>
      <c r="D3" s="2" t="s">
        <v>4</v>
      </c>
    </row>
    <row r="4" spans="1:4" ht="16.8" x14ac:dyDescent="0.4">
      <c r="A4" s="3" t="s">
        <v>5</v>
      </c>
      <c r="B4" s="4">
        <f>'BF Gas Details'!B11</f>
        <v>1721200</v>
      </c>
      <c r="C4" s="4">
        <f>'BF Gas Details'!C24</f>
        <v>1736000</v>
      </c>
      <c r="D4" s="4">
        <f>B4-C4</f>
        <v>-14800</v>
      </c>
    </row>
    <row r="5" spans="1:4" ht="16.8" x14ac:dyDescent="0.4">
      <c r="A5" s="3" t="s">
        <v>6</v>
      </c>
      <c r="B5" s="4">
        <f>'CO Gas Details'!C7</f>
        <v>142000</v>
      </c>
      <c r="C5" s="4">
        <f>'CO Gas Details'!C29</f>
        <v>134600</v>
      </c>
      <c r="D5" s="4">
        <f>B5-C5</f>
        <v>7400</v>
      </c>
    </row>
    <row r="6" spans="1:4" ht="16.8" x14ac:dyDescent="0.4">
      <c r="A6" s="3" t="s">
        <v>7</v>
      </c>
      <c r="B6" s="4">
        <f>'LD Gas Details'!C7</f>
        <v>150000</v>
      </c>
      <c r="C6" s="4">
        <v>0</v>
      </c>
      <c r="D6" s="4">
        <f>B6-C6</f>
        <v>150000</v>
      </c>
    </row>
    <row r="7" spans="1:4" ht="16.8" x14ac:dyDescent="0.4">
      <c r="A7" s="5" t="s">
        <v>8</v>
      </c>
      <c r="B7" s="6">
        <f>SUM(B4:B6)</f>
        <v>2013200</v>
      </c>
      <c r="C7" s="6">
        <f>SUM(C4:C6)</f>
        <v>1870600</v>
      </c>
      <c r="D7" s="6">
        <f>SUM(D4:D6)</f>
        <v>142600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topLeftCell="A5" workbookViewId="0"/>
  </sheetViews>
  <sheetFormatPr defaultRowHeight="14.4" x14ac:dyDescent="0.3"/>
  <cols>
    <col min="1" max="1" width="58" customWidth="1"/>
    <col min="2" max="4" width="16" customWidth="1"/>
  </cols>
  <sheetData>
    <row r="1" spans="1:3" ht="19.2" x14ac:dyDescent="0.45">
      <c r="A1" s="7" t="s">
        <v>9</v>
      </c>
    </row>
    <row r="3" spans="1:3" ht="16.8" x14ac:dyDescent="0.4">
      <c r="A3" s="8" t="s">
        <v>10</v>
      </c>
    </row>
    <row r="4" spans="1:3" ht="16.8" x14ac:dyDescent="0.4">
      <c r="A4" s="9" t="s">
        <v>11</v>
      </c>
      <c r="B4" s="9" t="s">
        <v>12</v>
      </c>
      <c r="C4" s="9" t="s">
        <v>13</v>
      </c>
    </row>
    <row r="5" spans="1:3" ht="16.8" x14ac:dyDescent="0.4">
      <c r="A5" s="10" t="s">
        <v>14</v>
      </c>
      <c r="B5" s="4">
        <v>465000</v>
      </c>
      <c r="C5" s="4">
        <v>194000</v>
      </c>
    </row>
    <row r="6" spans="1:3" ht="16.8" x14ac:dyDescent="0.4">
      <c r="A6" s="10" t="s">
        <v>15</v>
      </c>
      <c r="B6" s="4">
        <v>450000</v>
      </c>
      <c r="C6" s="4">
        <v>115000</v>
      </c>
    </row>
    <row r="7" spans="1:3" ht="16.8" x14ac:dyDescent="0.4">
      <c r="A7" s="10" t="s">
        <v>16</v>
      </c>
      <c r="B7" s="4">
        <v>322000</v>
      </c>
      <c r="C7" s="4">
        <v>90000</v>
      </c>
    </row>
    <row r="8" spans="1:3" ht="16.8" x14ac:dyDescent="0.4">
      <c r="A8" s="10" t="s">
        <v>17</v>
      </c>
      <c r="B8" s="4">
        <v>240000</v>
      </c>
      <c r="C8" s="4">
        <v>80000</v>
      </c>
    </row>
    <row r="9" spans="1:3" ht="16.8" x14ac:dyDescent="0.4">
      <c r="A9" s="10" t="s">
        <v>18</v>
      </c>
      <c r="B9" s="4">
        <v>82200</v>
      </c>
      <c r="C9" s="4">
        <v>25000</v>
      </c>
    </row>
    <row r="10" spans="1:3" ht="16.8" x14ac:dyDescent="0.4">
      <c r="A10" s="10" t="s">
        <v>19</v>
      </c>
      <c r="B10" s="4">
        <v>162000</v>
      </c>
      <c r="C10" s="4">
        <v>32000</v>
      </c>
    </row>
    <row r="11" spans="1:3" ht="16.8" x14ac:dyDescent="0.4">
      <c r="A11" s="5" t="s">
        <v>20</v>
      </c>
      <c r="B11" s="6">
        <f>SUM(B5:B10)</f>
        <v>1721200</v>
      </c>
      <c r="C11" s="6">
        <f>SUM(C5:C10)</f>
        <v>536000</v>
      </c>
    </row>
    <row r="13" spans="1:3" ht="16.8" x14ac:dyDescent="0.4">
      <c r="A13" s="8" t="s">
        <v>21</v>
      </c>
    </row>
    <row r="14" spans="1:3" ht="16.8" x14ac:dyDescent="0.4">
      <c r="A14" s="9" t="s">
        <v>22</v>
      </c>
      <c r="B14" s="9" t="s">
        <v>13</v>
      </c>
    </row>
    <row r="15" spans="1:3" ht="16.8" x14ac:dyDescent="0.4">
      <c r="A15" s="10" t="s">
        <v>23</v>
      </c>
      <c r="B15" s="4">
        <v>75000</v>
      </c>
    </row>
    <row r="16" spans="1:3" ht="16.8" x14ac:dyDescent="0.4">
      <c r="A16" s="10" t="s">
        <v>24</v>
      </c>
      <c r="B16" s="4">
        <v>60000</v>
      </c>
    </row>
    <row r="17" spans="1:4" ht="16.8" x14ac:dyDescent="0.4">
      <c r="A17" s="10" t="s">
        <v>25</v>
      </c>
      <c r="B17" s="4">
        <v>10000</v>
      </c>
    </row>
    <row r="18" spans="1:4" ht="16.8" x14ac:dyDescent="0.4">
      <c r="A18" s="10" t="s">
        <v>26</v>
      </c>
      <c r="B18" s="4">
        <v>15000</v>
      </c>
    </row>
    <row r="19" spans="1:4" ht="16.8" x14ac:dyDescent="0.4">
      <c r="A19" s="10" t="s">
        <v>27</v>
      </c>
      <c r="B19" s="4">
        <v>270000</v>
      </c>
    </row>
    <row r="20" spans="1:4" ht="16.8" x14ac:dyDescent="0.4">
      <c r="A20" s="10" t="s">
        <v>28</v>
      </c>
      <c r="B20" s="4">
        <v>190000</v>
      </c>
    </row>
    <row r="21" spans="1:4" ht="16.8" x14ac:dyDescent="0.4">
      <c r="A21" s="10" t="s">
        <v>29</v>
      </c>
      <c r="B21" s="4">
        <v>150000</v>
      </c>
    </row>
    <row r="22" spans="1:4" ht="16.8" x14ac:dyDescent="0.4">
      <c r="A22" s="10" t="s">
        <v>30</v>
      </c>
      <c r="B22" s="4">
        <v>130000</v>
      </c>
    </row>
    <row r="23" spans="1:4" ht="16.8" x14ac:dyDescent="0.4">
      <c r="A23" s="10" t="s">
        <v>31</v>
      </c>
      <c r="B23" s="4">
        <v>300000</v>
      </c>
    </row>
    <row r="24" spans="1:4" ht="16.8" x14ac:dyDescent="0.4">
      <c r="A24" s="5" t="s">
        <v>32</v>
      </c>
      <c r="B24" s="6"/>
      <c r="C24" s="6">
        <f>C11+B25</f>
        <v>1736000</v>
      </c>
      <c r="D24" s="11">
        <f>C11+B25</f>
        <v>1736000</v>
      </c>
    </row>
    <row r="25" spans="1:4" ht="16.8" x14ac:dyDescent="0.4">
      <c r="A25" s="5" t="s">
        <v>33</v>
      </c>
      <c r="B25" s="12">
        <f>SUM(B15:B24)</f>
        <v>1200000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9"/>
  <sheetViews>
    <sheetView tabSelected="1" topLeftCell="A2" workbookViewId="0">
      <selection activeCell="E19" sqref="E19"/>
    </sheetView>
  </sheetViews>
  <sheetFormatPr defaultRowHeight="14.4" x14ac:dyDescent="0.3"/>
  <cols>
    <col min="1" max="1" width="35" customWidth="1"/>
    <col min="2" max="2" width="27" customWidth="1"/>
    <col min="3" max="3" width="16" customWidth="1"/>
  </cols>
  <sheetData>
    <row r="1" spans="1:3" ht="19.2" x14ac:dyDescent="0.45">
      <c r="A1" s="7" t="s">
        <v>34</v>
      </c>
    </row>
    <row r="3" spans="1:3" ht="16.8" x14ac:dyDescent="0.4">
      <c r="A3" s="8" t="s">
        <v>35</v>
      </c>
    </row>
    <row r="4" spans="1:3" ht="16.8" x14ac:dyDescent="0.4">
      <c r="A4" s="9" t="s">
        <v>36</v>
      </c>
      <c r="B4" s="9" t="s">
        <v>37</v>
      </c>
      <c r="C4" s="9" t="s">
        <v>12</v>
      </c>
    </row>
    <row r="5" spans="1:3" ht="16.8" x14ac:dyDescent="0.4">
      <c r="A5" s="10" t="s">
        <v>38</v>
      </c>
      <c r="B5" s="10" t="s">
        <v>39</v>
      </c>
      <c r="C5" s="4">
        <v>62000</v>
      </c>
    </row>
    <row r="6" spans="1:3" ht="16.8" x14ac:dyDescent="0.4">
      <c r="A6" s="10" t="s">
        <v>40</v>
      </c>
      <c r="B6" s="10" t="s">
        <v>41</v>
      </c>
      <c r="C6" s="4">
        <v>80000</v>
      </c>
    </row>
    <row r="7" spans="1:3" ht="16.8" x14ac:dyDescent="0.4">
      <c r="A7" s="5" t="s">
        <v>42</v>
      </c>
      <c r="B7" s="5"/>
      <c r="C7" s="6">
        <f>SUM(C5:C6)</f>
        <v>142000</v>
      </c>
    </row>
    <row r="9" spans="1:3" ht="16.8" x14ac:dyDescent="0.4">
      <c r="A9" s="8" t="s">
        <v>43</v>
      </c>
    </row>
    <row r="10" spans="1:3" ht="16.8" x14ac:dyDescent="0.4">
      <c r="A10" s="9" t="s">
        <v>44</v>
      </c>
      <c r="B10" s="9" t="s">
        <v>22</v>
      </c>
      <c r="C10" s="9" t="s">
        <v>13</v>
      </c>
    </row>
    <row r="11" spans="1:3" ht="16.8" x14ac:dyDescent="0.4">
      <c r="A11" s="13">
        <v>1</v>
      </c>
      <c r="B11" s="10" t="s">
        <v>45</v>
      </c>
      <c r="C11" s="4">
        <v>3000</v>
      </c>
    </row>
    <row r="12" spans="1:3" ht="16.8" x14ac:dyDescent="0.4">
      <c r="A12" s="13">
        <v>2</v>
      </c>
      <c r="B12" s="10" t="s">
        <v>46</v>
      </c>
      <c r="C12" s="4">
        <v>8000</v>
      </c>
    </row>
    <row r="13" spans="1:3" ht="16.8" x14ac:dyDescent="0.4">
      <c r="A13" s="13">
        <v>3</v>
      </c>
      <c r="B13" s="10" t="s">
        <v>47</v>
      </c>
      <c r="C13" s="4">
        <v>7000</v>
      </c>
    </row>
    <row r="14" spans="1:3" ht="16.8" x14ac:dyDescent="0.4">
      <c r="A14" s="13">
        <v>4</v>
      </c>
      <c r="B14" s="10" t="s">
        <v>48</v>
      </c>
      <c r="C14" s="4">
        <v>4000</v>
      </c>
    </row>
    <row r="15" spans="1:3" ht="16.8" x14ac:dyDescent="0.4">
      <c r="A15" s="13">
        <v>5</v>
      </c>
      <c r="B15" s="10" t="s">
        <v>49</v>
      </c>
      <c r="C15" s="4">
        <v>3000</v>
      </c>
    </row>
    <row r="16" spans="1:3" ht="16.8" x14ac:dyDescent="0.4">
      <c r="A16" s="13">
        <v>6</v>
      </c>
      <c r="B16" s="10" t="s">
        <v>50</v>
      </c>
      <c r="C16" s="4">
        <v>30000</v>
      </c>
    </row>
    <row r="17" spans="1:3" ht="16.8" x14ac:dyDescent="0.4">
      <c r="A17" s="13">
        <v>7</v>
      </c>
      <c r="B17" s="10" t="s">
        <v>51</v>
      </c>
      <c r="C17" s="4">
        <v>8000</v>
      </c>
    </row>
    <row r="18" spans="1:3" ht="16.8" x14ac:dyDescent="0.4">
      <c r="A18" s="13">
        <v>8</v>
      </c>
      <c r="B18" s="10" t="s">
        <v>52</v>
      </c>
      <c r="C18" s="4">
        <v>1200</v>
      </c>
    </row>
    <row r="19" spans="1:3" ht="16.8" x14ac:dyDescent="0.4">
      <c r="A19" s="13">
        <v>9</v>
      </c>
      <c r="B19" s="10" t="s">
        <v>24</v>
      </c>
      <c r="C19" s="4">
        <v>18000</v>
      </c>
    </row>
    <row r="20" spans="1:3" ht="16.8" x14ac:dyDescent="0.4">
      <c r="A20" s="13">
        <v>10</v>
      </c>
      <c r="B20" s="10" t="s">
        <v>53</v>
      </c>
      <c r="C20" s="4">
        <v>7000</v>
      </c>
    </row>
    <row r="21" spans="1:3" ht="16.8" x14ac:dyDescent="0.4">
      <c r="A21" s="13">
        <v>11</v>
      </c>
      <c r="B21" s="10" t="s">
        <v>54</v>
      </c>
      <c r="C21" s="4">
        <v>6000</v>
      </c>
    </row>
    <row r="22" spans="1:3" ht="16.8" x14ac:dyDescent="0.4">
      <c r="A22" s="13">
        <v>12</v>
      </c>
      <c r="B22" s="10" t="s">
        <v>55</v>
      </c>
      <c r="C22" s="4">
        <v>1500</v>
      </c>
    </row>
    <row r="23" spans="1:3" ht="16.8" x14ac:dyDescent="0.4">
      <c r="A23" s="13">
        <v>13</v>
      </c>
      <c r="B23" s="10" t="s">
        <v>62</v>
      </c>
      <c r="C23" s="4">
        <v>1100</v>
      </c>
    </row>
    <row r="24" spans="1:3" ht="16.8" x14ac:dyDescent="0.4">
      <c r="A24" s="13">
        <v>14</v>
      </c>
      <c r="B24" s="10" t="s">
        <v>63</v>
      </c>
      <c r="C24" s="4">
        <v>22000</v>
      </c>
    </row>
    <row r="25" spans="1:3" ht="16.8" x14ac:dyDescent="0.4">
      <c r="A25" s="13">
        <v>15</v>
      </c>
      <c r="B25" s="10" t="s">
        <v>64</v>
      </c>
      <c r="C25" s="4">
        <v>2000</v>
      </c>
    </row>
    <row r="26" spans="1:3" ht="16.8" x14ac:dyDescent="0.4">
      <c r="A26" s="13">
        <v>16</v>
      </c>
      <c r="B26" s="10" t="s">
        <v>65</v>
      </c>
      <c r="C26" s="4">
        <v>3000</v>
      </c>
    </row>
    <row r="27" spans="1:3" ht="16.8" x14ac:dyDescent="0.4">
      <c r="A27" s="13">
        <v>17</v>
      </c>
      <c r="B27" s="10" t="s">
        <v>66</v>
      </c>
      <c r="C27" s="4">
        <v>5000</v>
      </c>
    </row>
    <row r="28" spans="1:3" ht="16.8" x14ac:dyDescent="0.4">
      <c r="A28" s="13">
        <v>18</v>
      </c>
      <c r="B28" s="10" t="s">
        <v>56</v>
      </c>
      <c r="C28" s="4">
        <v>4800</v>
      </c>
    </row>
    <row r="29" spans="1:3" ht="16.8" x14ac:dyDescent="0.4">
      <c r="A29" s="5"/>
      <c r="B29" s="5" t="s">
        <v>57</v>
      </c>
      <c r="C29" s="6">
        <f>SUM(C11:C28)</f>
        <v>134600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/>
  </sheetViews>
  <sheetFormatPr defaultRowHeight="14.4" x14ac:dyDescent="0.3"/>
  <cols>
    <col min="1" max="1" width="39" customWidth="1"/>
    <col min="2" max="2" width="23" customWidth="1"/>
    <col min="3" max="3" width="16" customWidth="1"/>
  </cols>
  <sheetData>
    <row r="1" spans="1:3" ht="19.2" x14ac:dyDescent="0.45">
      <c r="A1" s="7" t="s">
        <v>58</v>
      </c>
    </row>
    <row r="3" spans="1:3" ht="16.8" x14ac:dyDescent="0.4">
      <c r="A3" s="8" t="s">
        <v>35</v>
      </c>
    </row>
    <row r="4" spans="1:3" ht="16.8" x14ac:dyDescent="0.4">
      <c r="B4" s="9" t="s">
        <v>37</v>
      </c>
      <c r="C4" s="9" t="s">
        <v>12</v>
      </c>
    </row>
    <row r="5" spans="1:3" ht="16.8" x14ac:dyDescent="0.4">
      <c r="B5" s="10" t="s">
        <v>59</v>
      </c>
      <c r="C5" s="4">
        <v>85000</v>
      </c>
    </row>
    <row r="6" spans="1:3" ht="16.8" x14ac:dyDescent="0.4">
      <c r="B6" s="10" t="s">
        <v>60</v>
      </c>
      <c r="C6" s="4">
        <v>65000</v>
      </c>
    </row>
    <row r="7" spans="1:3" ht="16.8" x14ac:dyDescent="0.4">
      <c r="B7" s="5" t="s">
        <v>61</v>
      </c>
      <c r="C7" s="12">
        <f>SUM(C5:C6)</f>
        <v>150000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 Dashboard</vt:lpstr>
      <vt:lpstr>BF Gas Details</vt:lpstr>
      <vt:lpstr>CO Gas Details</vt:lpstr>
      <vt:lpstr>LD Gas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AMRIT ARYA</cp:lastModifiedBy>
  <dcterms:created xsi:type="dcterms:W3CDTF">2026-07-12T07:35:07Z</dcterms:created>
  <dcterms:modified xsi:type="dcterms:W3CDTF">2026-09-02T04:45:45Z</dcterms:modified>
</cp:coreProperties>
</file>